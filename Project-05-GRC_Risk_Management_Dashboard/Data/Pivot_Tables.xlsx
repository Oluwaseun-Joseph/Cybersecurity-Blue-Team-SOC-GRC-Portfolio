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81d2619b5581d0c/CYBERSECURITY ROADMAPS AND MATERIALS/CYBERSECURITY PORTFOLIO/RISK ANALYSIS PROJECT/PROJECT UPDATED/"/>
    </mc:Choice>
  </mc:AlternateContent>
  <xr:revisionPtr revIDLastSave="0" documentId="8_{91320042-5CBC-4EEB-8F61-7F62E9110930}" xr6:coauthVersionLast="47" xr6:coauthVersionMax="47" xr10:uidLastSave="{00000000-0000-0000-0000-000000000000}"/>
  <bookViews>
    <workbookView xWindow="-110" yWindow="-110" windowWidth="19420" windowHeight="11500" firstSheet="2" activeTab="4" xr2:uid="{00000000-000D-0000-FFFF-FFFF00000000}"/>
  </bookViews>
  <sheets>
    <sheet name="Average Inherent Risk " sheetId="5" r:id="rId1"/>
    <sheet name="Risk by Threat Scenario" sheetId="4" r:id="rId2"/>
    <sheet name="Top Risks" sheetId="6" r:id="rId3"/>
    <sheet name="Risks Drivers" sheetId="7" r:id="rId4"/>
    <sheet name="Risk Status" sheetId="8" r:id="rId5"/>
    <sheet name="Risk Category" sheetId="9" r:id="rId6"/>
  </sheets>
  <calcPr calcId="0"/>
  <pivotCaches>
    <pivotCache cacheId="0" r:id="rId7"/>
  </pivotCaches>
</workbook>
</file>

<file path=xl/sharedStrings.xml><?xml version="1.0" encoding="utf-8"?>
<sst xmlns="http://schemas.openxmlformats.org/spreadsheetml/2006/main" count="54" uniqueCount="34">
  <si>
    <t>Risk Category</t>
  </si>
  <si>
    <t>Average of Residual_Risk_LxI</t>
  </si>
  <si>
    <t>Average of Inherent_Risk_LxI</t>
  </si>
  <si>
    <t>Average of Risk Reduction Delta</t>
  </si>
  <si>
    <t>Confidentiality</t>
  </si>
  <si>
    <t>Social Engineering</t>
  </si>
  <si>
    <t>Access Control</t>
  </si>
  <si>
    <t>Availability</t>
  </si>
  <si>
    <t>Malware</t>
  </si>
  <si>
    <t>Grand Total</t>
  </si>
  <si>
    <t>Risk Title</t>
  </si>
  <si>
    <t>Average of Impact_1to5</t>
  </si>
  <si>
    <t>Average of Likelihood_1to5</t>
  </si>
  <si>
    <t>Data Breach</t>
  </si>
  <si>
    <t>Malware Infection</t>
  </si>
  <si>
    <t>Phishing Attack</t>
  </si>
  <si>
    <t>System Downtime</t>
  </si>
  <si>
    <t>Unauthorized Access</t>
  </si>
  <si>
    <t>Risk ID</t>
  </si>
  <si>
    <t>R-005</t>
  </si>
  <si>
    <t>R-003</t>
  </si>
  <si>
    <t>R-002</t>
  </si>
  <si>
    <t>R-001</t>
  </si>
  <si>
    <t>R-004</t>
  </si>
  <si>
    <t>Max of Inherent_Risk_LxI</t>
  </si>
  <si>
    <t>Status</t>
  </si>
  <si>
    <t>Count of Risk_ID</t>
  </si>
  <si>
    <t>Accepted</t>
  </si>
  <si>
    <t>Closed</t>
  </si>
  <si>
    <t>Mitigating</t>
  </si>
  <si>
    <t>Monitoring</t>
  </si>
  <si>
    <t>Open</t>
  </si>
  <si>
    <t>Row Labels</t>
  </si>
  <si>
    <t>Sum of Inherent_Risk_LxI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</si>
</sst>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isk_ANALYSIS%20DASHBOARD.xlsb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uwaseun Joseph" refreshedDate="46004.901918055555" createdVersion="8" refreshedVersion="8" minRefreshableVersion="3" recordCount="30" xr:uid="{584FA5E5-9664-4D5B-A95E-9749BF649DF9}">
  <cacheSource type="worksheet">
    <worksheetSource name="tblRawRisk__2" r:id="rId2"/>
  </cacheSource>
  <cacheFields count="21">
    <cacheField name="Record_ID" numFmtId="0">
      <sharedItems/>
    </cacheField>
    <cacheField name="Risk_ID" numFmtId="0">
      <sharedItems count="5">
        <s v="R-001"/>
        <s v="R-002"/>
        <s v="R-003"/>
        <s v="R-004"/>
        <s v="R-005"/>
      </sharedItems>
    </cacheField>
    <cacheField name="Risk_Title" numFmtId="0">
      <sharedItems count="5">
        <s v="System Downtime"/>
        <s v="Phishing Attack"/>
        <s v="Unauthorized Access"/>
        <s v="Malware Infection"/>
        <s v="Data Breach"/>
      </sharedItems>
    </cacheField>
    <cacheField name="Risk_Category" numFmtId="0">
      <sharedItems count="5">
        <s v="Availability"/>
        <s v="Social Engineering"/>
        <s v="Access Control"/>
        <s v="Malware"/>
        <s v="Confidentiality"/>
      </sharedItems>
    </cacheField>
    <cacheField name="Asset_or_Process" numFmtId="0">
      <sharedItems/>
    </cacheField>
    <cacheField name="Threat_Event" numFmtId="0">
      <sharedItems/>
    </cacheField>
    <cacheField name="Vulnerability_or_Cause" numFmtId="0">
      <sharedItems/>
    </cacheField>
    <cacheField name="Likelihood_1to5" numFmtId="0">
      <sharedItems containsSemiMixedTypes="0" containsString="0" containsNumber="1" containsInteger="1" minValue="1" maxValue="5" count="5">
        <n v="3"/>
        <n v="5"/>
        <n v="4"/>
        <n v="2"/>
        <n v="1"/>
      </sharedItems>
    </cacheField>
    <cacheField name="Impact_1to5" numFmtId="0">
      <sharedItems containsSemiMixedTypes="0" containsString="0" containsNumber="1" containsInteger="1" minValue="1" maxValue="5" count="5">
        <n v="2"/>
        <n v="5"/>
        <n v="3"/>
        <n v="1"/>
        <n v="4"/>
      </sharedItems>
    </cacheField>
    <cacheField name="Inherent_Risk_LxI" numFmtId="0">
      <sharedItems containsSemiMixedTypes="0" containsString="0" containsNumber="1" containsInteger="1" minValue="2" maxValue="25" count="11">
        <n v="6"/>
        <n v="15"/>
        <n v="4"/>
        <n v="8"/>
        <n v="20"/>
        <n v="25"/>
        <n v="9"/>
        <n v="12"/>
        <n v="16"/>
        <n v="3"/>
        <n v="2"/>
      </sharedItems>
    </cacheField>
    <cacheField name="Existing_Control" numFmtId="0">
      <sharedItems/>
    </cacheField>
    <cacheField name="Control_Effectiveness_pct" numFmtId="0">
      <sharedItems containsSemiMixedTypes="0" containsString="0" containsNumber="1" containsInteger="1" minValue="30" maxValue="90"/>
    </cacheField>
    <cacheField name="Residual_Likelihood" numFmtId="0">
      <sharedItems containsSemiMixedTypes="0" containsString="0" containsNumber="1" containsInteger="1" minValue="1" maxValue="2"/>
    </cacheField>
    <cacheField name="Residual_Impact" numFmtId="0">
      <sharedItems containsSemiMixedTypes="0" containsString="0" containsNumber="1" containsInteger="1" minValue="1" maxValue="4"/>
    </cacheField>
    <cacheField name="Residual_Risk_LxI" numFmtId="0">
      <sharedItems containsSemiMixedTypes="0" containsString="0" containsNumber="1" containsInteger="1" minValue="1" maxValue="8"/>
    </cacheField>
    <cacheField name="Risk_Owner" numFmtId="0">
      <sharedItems/>
    </cacheField>
    <cacheField name="Status" numFmtId="0">
      <sharedItems count="5">
        <s v="Closed"/>
        <s v="Open"/>
        <s v="Mitigating"/>
        <s v="Monitoring"/>
        <s v="Accepted"/>
      </sharedItems>
    </cacheField>
    <cacheField name="Date_Identified" numFmtId="14">
      <sharedItems containsSemiMixedTypes="0" containsNonDate="0" containsDate="1" containsString="0" minDate="2025-09-07T00:00:00" maxDate="2025-11-24T00:00:00"/>
    </cacheField>
    <cacheField name="Next_Review_Date" numFmtId="14">
      <sharedItems containsSemiMixedTypes="0" containsNonDate="0" containsDate="1" containsString="0" minDate="2025-10-07T00:00:00" maxDate="2025-12-24T00:00:00"/>
    </cacheField>
    <cacheField name="Evidence_Link_or_File" numFmtId="0">
      <sharedItems containsNonDate="0" containsString="0" containsBlank="1"/>
    </cacheField>
    <cacheField name="Risk Reduction Delta" numFmtId="0" formula="Inherent_Risk_LxI-Residual_Risk_LxI" databaseField="0"/>
  </cacheFields>
  <extLst>
    <ext xmlns:x14="http://schemas.microsoft.com/office/spreadsheetml/2009/9/main" uri="{725AE2AE-9491-48be-B2B4-4EB974FC3084}">
      <x14:pivotCacheDefinition pivotCacheId="12689214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R-001-01"/>
    <x v="0"/>
    <x v="0"/>
    <x v="0"/>
    <s v="IT Infrastructure"/>
    <s v="Unplanned outage"/>
    <s v="Single point of failure"/>
    <x v="0"/>
    <x v="0"/>
    <x v="0"/>
    <s v="Security awareness training"/>
    <n v="90"/>
    <n v="1"/>
    <n v="1"/>
    <n v="1"/>
    <s v="GRC Analyst"/>
    <x v="0"/>
    <d v="2025-10-28T00:00:00"/>
    <d v="2025-11-27T00:00:00"/>
    <m/>
  </r>
  <r>
    <s v="R-002-02"/>
    <x v="1"/>
    <x v="1"/>
    <x v="1"/>
    <s v="End Users"/>
    <s v="Credential theft"/>
    <s v="Lack of awareness/training"/>
    <x v="0"/>
    <x v="1"/>
    <x v="1"/>
    <s v="MFA enforced"/>
    <n v="40"/>
    <n v="2"/>
    <n v="4"/>
    <n v="8"/>
    <s v="Security Engineer"/>
    <x v="1"/>
    <d v="2025-10-10T00:00:00"/>
    <d v="2025-11-09T00:00:00"/>
    <m/>
  </r>
  <r>
    <s v="R-003-03"/>
    <x v="2"/>
    <x v="2"/>
    <x v="2"/>
    <s v="IAM"/>
    <s v="Privilege misuse"/>
    <s v="Weak MFA / excessive permissions"/>
    <x v="1"/>
    <x v="2"/>
    <x v="1"/>
    <s v="MFA enforced"/>
    <n v="70"/>
    <n v="2"/>
    <n v="2"/>
    <n v="4"/>
    <s v="SOC Analyst"/>
    <x v="1"/>
    <d v="2025-09-07T00:00:00"/>
    <d v="2025-10-07T00:00:00"/>
    <m/>
  </r>
  <r>
    <s v="R-004-04"/>
    <x v="3"/>
    <x v="3"/>
    <x v="3"/>
    <s v="Endpoints"/>
    <s v="Malware execution"/>
    <s v="Unpatched software"/>
    <x v="2"/>
    <x v="3"/>
    <x v="2"/>
    <s v="Least privilege reviews"/>
    <n v="80"/>
    <n v="1"/>
    <n v="1"/>
    <n v="1"/>
    <s v="SOC Analyst"/>
    <x v="0"/>
    <d v="2025-10-24T00:00:00"/>
    <d v="2025-11-23T00:00:00"/>
    <m/>
  </r>
  <r>
    <s v="R-005-05"/>
    <x v="4"/>
    <x v="4"/>
    <x v="4"/>
    <s v="Data Stores"/>
    <s v="Exfiltration"/>
    <s v="Misconfigured access / weak monitoring"/>
    <x v="0"/>
    <x v="1"/>
    <x v="1"/>
    <s v="EDR deployment"/>
    <n v="30"/>
    <n v="2"/>
    <n v="4"/>
    <n v="8"/>
    <s v="Security Engineer"/>
    <x v="1"/>
    <d v="2025-11-18T00:00:00"/>
    <d v="2025-12-18T00:00:00"/>
    <m/>
  </r>
  <r>
    <s v="R-001-06"/>
    <x v="0"/>
    <x v="0"/>
    <x v="0"/>
    <s v="IT Infrastructure"/>
    <s v="Unplanned outage"/>
    <s v="Single point of failure"/>
    <x v="3"/>
    <x v="0"/>
    <x v="2"/>
    <s v="Backup &amp; DR testing"/>
    <n v="40"/>
    <n v="1"/>
    <n v="2"/>
    <n v="2"/>
    <s v="GRC Analyst"/>
    <x v="2"/>
    <d v="2025-11-23T00:00:00"/>
    <d v="2025-12-23T00:00:00"/>
    <m/>
  </r>
  <r>
    <s v="R-002-07"/>
    <x v="1"/>
    <x v="1"/>
    <x v="1"/>
    <s v="End Users"/>
    <s v="Credential theft"/>
    <s v="Lack of awareness/training"/>
    <x v="3"/>
    <x v="4"/>
    <x v="3"/>
    <s v="MFA enforced"/>
    <n v="30"/>
    <n v="1"/>
    <n v="3"/>
    <n v="3"/>
    <s v="CISO Office"/>
    <x v="2"/>
    <d v="2025-11-11T00:00:00"/>
    <d v="2025-12-11T00:00:00"/>
    <m/>
  </r>
  <r>
    <s v="R-003-08"/>
    <x v="2"/>
    <x v="2"/>
    <x v="2"/>
    <s v="IAM"/>
    <s v="Privilege misuse"/>
    <s v="Weak MFA / excessive permissions"/>
    <x v="1"/>
    <x v="4"/>
    <x v="4"/>
    <s v="Security awareness training"/>
    <n v="60"/>
    <n v="2"/>
    <n v="3"/>
    <n v="6"/>
    <s v="SOC Analyst"/>
    <x v="3"/>
    <d v="2025-09-24T00:00:00"/>
    <d v="2025-10-24T00:00:00"/>
    <m/>
  </r>
  <r>
    <s v="R-004-09"/>
    <x v="3"/>
    <x v="3"/>
    <x v="3"/>
    <s v="Endpoints"/>
    <s v="Malware execution"/>
    <s v="Unpatched software"/>
    <x v="3"/>
    <x v="2"/>
    <x v="0"/>
    <s v="MFA enforced"/>
    <n v="80"/>
    <n v="1"/>
    <n v="2"/>
    <n v="2"/>
    <s v="CISO Office"/>
    <x v="2"/>
    <d v="2025-11-07T00:00:00"/>
    <d v="2025-12-07T00:00:00"/>
    <m/>
  </r>
  <r>
    <s v="R-005-10"/>
    <x v="4"/>
    <x v="4"/>
    <x v="4"/>
    <s v="Data Stores"/>
    <s v="Exfiltration"/>
    <s v="Misconfigured access / weak monitoring"/>
    <x v="1"/>
    <x v="1"/>
    <x v="5"/>
    <s v="Security awareness training"/>
    <n v="60"/>
    <n v="2"/>
    <n v="3"/>
    <n v="6"/>
    <s v="GRC Analyst"/>
    <x v="2"/>
    <d v="2025-10-04T00:00:00"/>
    <d v="2025-11-03T00:00:00"/>
    <m/>
  </r>
  <r>
    <s v="R-001-11"/>
    <x v="0"/>
    <x v="0"/>
    <x v="0"/>
    <s v="IT Infrastructure"/>
    <s v="Unplanned outage"/>
    <s v="Single point of failure"/>
    <x v="0"/>
    <x v="2"/>
    <x v="6"/>
    <s v="Security awareness training"/>
    <n v="80"/>
    <n v="1"/>
    <n v="2"/>
    <n v="2"/>
    <s v="IT Ops"/>
    <x v="1"/>
    <d v="2025-10-02T00:00:00"/>
    <d v="2025-11-01T00:00:00"/>
    <m/>
  </r>
  <r>
    <s v="R-002-12"/>
    <x v="1"/>
    <x v="1"/>
    <x v="1"/>
    <s v="End Users"/>
    <s v="Credential theft"/>
    <s v="Lack of awareness/training"/>
    <x v="0"/>
    <x v="1"/>
    <x v="1"/>
    <s v="Patch management"/>
    <n v="50"/>
    <n v="2"/>
    <n v="4"/>
    <n v="8"/>
    <s v="GRC Analyst"/>
    <x v="1"/>
    <d v="2025-10-18T00:00:00"/>
    <d v="2025-11-17T00:00:00"/>
    <m/>
  </r>
  <r>
    <s v="R-003-13"/>
    <x v="2"/>
    <x v="2"/>
    <x v="2"/>
    <s v="IAM"/>
    <s v="Privilege misuse"/>
    <s v="Weak MFA / excessive permissions"/>
    <x v="2"/>
    <x v="2"/>
    <x v="7"/>
    <s v="EDR deployment"/>
    <n v="60"/>
    <n v="2"/>
    <n v="2"/>
    <n v="4"/>
    <s v="IT Ops"/>
    <x v="3"/>
    <d v="2025-11-07T00:00:00"/>
    <d v="2025-12-07T00:00:00"/>
    <m/>
  </r>
  <r>
    <s v="R-004-14"/>
    <x v="3"/>
    <x v="3"/>
    <x v="3"/>
    <s v="Endpoints"/>
    <s v="Malware execution"/>
    <s v="Unpatched software"/>
    <x v="0"/>
    <x v="0"/>
    <x v="0"/>
    <s v="Least privilege reviews"/>
    <n v="70"/>
    <n v="1"/>
    <n v="1"/>
    <n v="1"/>
    <s v="CISO Office"/>
    <x v="1"/>
    <d v="2025-10-06T00:00:00"/>
    <d v="2025-11-05T00:00:00"/>
    <m/>
  </r>
  <r>
    <s v="R-005-15"/>
    <x v="4"/>
    <x v="4"/>
    <x v="4"/>
    <s v="Data Stores"/>
    <s v="Exfiltration"/>
    <s v="Misconfigured access / weak monitoring"/>
    <x v="0"/>
    <x v="4"/>
    <x v="7"/>
    <s v="Network segmentation"/>
    <n v="30"/>
    <n v="2"/>
    <n v="3"/>
    <n v="6"/>
    <s v="Security Engineer"/>
    <x v="0"/>
    <d v="2025-10-14T00:00:00"/>
    <d v="2025-11-13T00:00:00"/>
    <m/>
  </r>
  <r>
    <s v="R-001-16"/>
    <x v="0"/>
    <x v="0"/>
    <x v="0"/>
    <s v="IT Infrastructure"/>
    <s v="Unplanned outage"/>
    <s v="Single point of failure"/>
    <x v="0"/>
    <x v="4"/>
    <x v="7"/>
    <s v="EDR deployment"/>
    <n v="50"/>
    <n v="2"/>
    <n v="3"/>
    <n v="6"/>
    <s v="GRC Analyst"/>
    <x v="3"/>
    <d v="2025-11-16T00:00:00"/>
    <d v="2025-12-16T00:00:00"/>
    <m/>
  </r>
  <r>
    <s v="R-002-17"/>
    <x v="1"/>
    <x v="1"/>
    <x v="1"/>
    <s v="End Users"/>
    <s v="Credential theft"/>
    <s v="Lack of awareness/training"/>
    <x v="2"/>
    <x v="4"/>
    <x v="8"/>
    <s v="MFA enforced"/>
    <n v="90"/>
    <n v="1"/>
    <n v="2"/>
    <n v="2"/>
    <s v="CISO Office"/>
    <x v="4"/>
    <d v="2025-11-21T00:00:00"/>
    <d v="2025-12-21T00:00:00"/>
    <m/>
  </r>
  <r>
    <s v="R-003-18"/>
    <x v="2"/>
    <x v="2"/>
    <x v="2"/>
    <s v="IAM"/>
    <s v="Privilege misuse"/>
    <s v="Weak MFA / excessive permissions"/>
    <x v="1"/>
    <x v="1"/>
    <x v="5"/>
    <s v="EDR deployment"/>
    <n v="70"/>
    <n v="2"/>
    <n v="3"/>
    <n v="6"/>
    <s v="CISO Office"/>
    <x v="0"/>
    <d v="2025-09-30T00:00:00"/>
    <d v="2025-10-30T00:00:00"/>
    <m/>
  </r>
  <r>
    <s v="R-004-19"/>
    <x v="3"/>
    <x v="3"/>
    <x v="3"/>
    <s v="Endpoints"/>
    <s v="Malware execution"/>
    <s v="Unpatched software"/>
    <x v="0"/>
    <x v="3"/>
    <x v="9"/>
    <s v="Least privilege reviews"/>
    <n v="90"/>
    <n v="1"/>
    <n v="1"/>
    <n v="1"/>
    <s v="Security Engineer"/>
    <x v="2"/>
    <d v="2025-10-05T00:00:00"/>
    <d v="2025-11-04T00:00:00"/>
    <m/>
  </r>
  <r>
    <s v="R-005-20"/>
    <x v="4"/>
    <x v="4"/>
    <x v="4"/>
    <s v="Data Stores"/>
    <s v="Exfiltration"/>
    <s v="Misconfigured access / weak monitoring"/>
    <x v="1"/>
    <x v="1"/>
    <x v="5"/>
    <s v="Backup &amp; DR testing"/>
    <n v="70"/>
    <n v="2"/>
    <n v="3"/>
    <n v="6"/>
    <s v="IT Ops"/>
    <x v="3"/>
    <d v="2025-09-18T00:00:00"/>
    <d v="2025-10-18T00:00:00"/>
    <m/>
  </r>
  <r>
    <s v="R-001-21"/>
    <x v="0"/>
    <x v="0"/>
    <x v="0"/>
    <s v="IT Infrastructure"/>
    <s v="Unplanned outage"/>
    <s v="Single point of failure"/>
    <x v="3"/>
    <x v="4"/>
    <x v="3"/>
    <s v="Security awareness training"/>
    <n v="90"/>
    <n v="1"/>
    <n v="2"/>
    <n v="2"/>
    <s v="CISO Office"/>
    <x v="1"/>
    <d v="2025-10-25T00:00:00"/>
    <d v="2025-11-24T00:00:00"/>
    <m/>
  </r>
  <r>
    <s v="R-002-22"/>
    <x v="1"/>
    <x v="1"/>
    <x v="1"/>
    <s v="End Users"/>
    <s v="Credential theft"/>
    <s v="Lack of awareness/training"/>
    <x v="2"/>
    <x v="4"/>
    <x v="8"/>
    <s v="Security awareness training"/>
    <n v="80"/>
    <n v="1"/>
    <n v="2"/>
    <n v="2"/>
    <s v="CISO Office"/>
    <x v="4"/>
    <d v="2025-11-15T00:00:00"/>
    <d v="2025-12-15T00:00:00"/>
    <m/>
  </r>
  <r>
    <s v="R-003-23"/>
    <x v="2"/>
    <x v="2"/>
    <x v="2"/>
    <s v="IAM"/>
    <s v="Privilege misuse"/>
    <s v="Weak MFA / excessive permissions"/>
    <x v="1"/>
    <x v="2"/>
    <x v="1"/>
    <s v="Security awareness training"/>
    <n v="80"/>
    <n v="1"/>
    <n v="2"/>
    <n v="2"/>
    <s v="GRC Analyst"/>
    <x v="3"/>
    <d v="2025-10-22T00:00:00"/>
    <d v="2025-11-21T00:00:00"/>
    <m/>
  </r>
  <r>
    <s v="R-004-24"/>
    <x v="3"/>
    <x v="3"/>
    <x v="3"/>
    <s v="Endpoints"/>
    <s v="Malware execution"/>
    <s v="Unpatched software"/>
    <x v="2"/>
    <x v="2"/>
    <x v="7"/>
    <s v="Security awareness training"/>
    <n v="70"/>
    <n v="1"/>
    <n v="2"/>
    <n v="2"/>
    <s v="CISO Office"/>
    <x v="1"/>
    <d v="2025-11-11T00:00:00"/>
    <d v="2025-12-11T00:00:00"/>
    <m/>
  </r>
  <r>
    <s v="R-005-25"/>
    <x v="4"/>
    <x v="4"/>
    <x v="4"/>
    <s v="Data Stores"/>
    <s v="Exfiltration"/>
    <s v="Misconfigured access / weak monitoring"/>
    <x v="2"/>
    <x v="1"/>
    <x v="4"/>
    <s v="Security awareness training"/>
    <n v="90"/>
    <n v="1"/>
    <n v="2"/>
    <n v="2"/>
    <s v="GRC Analyst"/>
    <x v="4"/>
    <d v="2025-11-03T00:00:00"/>
    <d v="2025-12-03T00:00:00"/>
    <m/>
  </r>
  <r>
    <s v="R-001-26"/>
    <x v="0"/>
    <x v="0"/>
    <x v="0"/>
    <s v="IT Infrastructure"/>
    <s v="Unplanned outage"/>
    <s v="Single point of failure"/>
    <x v="4"/>
    <x v="0"/>
    <x v="10"/>
    <s v="EDR deployment"/>
    <n v="60"/>
    <n v="1"/>
    <n v="1"/>
    <n v="1"/>
    <s v="SOC Analyst"/>
    <x v="2"/>
    <d v="2025-10-04T00:00:00"/>
    <d v="2025-11-03T00:00:00"/>
    <m/>
  </r>
  <r>
    <s v="R-002-27"/>
    <x v="1"/>
    <x v="1"/>
    <x v="1"/>
    <s v="End Users"/>
    <s v="Credential theft"/>
    <s v="Lack of awareness/training"/>
    <x v="0"/>
    <x v="2"/>
    <x v="6"/>
    <s v="Least privilege reviews"/>
    <n v="60"/>
    <n v="1"/>
    <n v="2"/>
    <n v="2"/>
    <s v="IT Ops"/>
    <x v="3"/>
    <d v="2025-10-05T00:00:00"/>
    <d v="2025-11-04T00:00:00"/>
    <m/>
  </r>
  <r>
    <s v="R-003-28"/>
    <x v="2"/>
    <x v="2"/>
    <x v="2"/>
    <s v="IAM"/>
    <s v="Privilege misuse"/>
    <s v="Weak MFA / excessive permissions"/>
    <x v="1"/>
    <x v="2"/>
    <x v="1"/>
    <s v="Log monitoring / SIEM rules"/>
    <n v="90"/>
    <n v="1"/>
    <n v="1"/>
    <n v="1"/>
    <s v="Security Engineer"/>
    <x v="3"/>
    <d v="2025-09-14T00:00:00"/>
    <d v="2025-10-14T00:00:00"/>
    <m/>
  </r>
  <r>
    <s v="R-004-29"/>
    <x v="3"/>
    <x v="3"/>
    <x v="3"/>
    <s v="Endpoints"/>
    <s v="Malware execution"/>
    <s v="Unpatched software"/>
    <x v="0"/>
    <x v="2"/>
    <x v="6"/>
    <s v="Security awareness training"/>
    <n v="90"/>
    <n v="1"/>
    <n v="1"/>
    <n v="1"/>
    <s v="SOC Analyst"/>
    <x v="0"/>
    <d v="2025-10-04T00:00:00"/>
    <d v="2025-11-03T00:00:00"/>
    <m/>
  </r>
  <r>
    <s v="R-005-30"/>
    <x v="4"/>
    <x v="4"/>
    <x v="4"/>
    <s v="Data Stores"/>
    <s v="Exfiltration"/>
    <s v="Misconfigured access / weak monitoring"/>
    <x v="2"/>
    <x v="1"/>
    <x v="4"/>
    <s v="Log monitoring / SIEM rules"/>
    <n v="50"/>
    <n v="2"/>
    <n v="4"/>
    <n v="8"/>
    <s v="SOC Analyst"/>
    <x v="2"/>
    <d v="2025-09-11T00:00:00"/>
    <d v="2025-10-11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7B5B1-DE20-460A-9963-CB156975AEF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isk Title">
  <location ref="C4:F10" firstHeaderRow="0" firstDataRow="1" firstDataCol="1"/>
  <pivotFields count="21">
    <pivotField showAll="0"/>
    <pivotField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Impact_1to5" fld="8" subtotal="average" baseField="2" baseItem="3"/>
    <dataField name="Average of Likelihood_1to5" fld="7" subtotal="average" baseField="2" baseItem="3"/>
    <dataField name="Average of Inherent_Risk_LxI" fld="9" subtotal="average" baseField="2" baseItem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986DA-5DC4-42A0-B7A1-4BAEE931DA6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Risk Category">
  <location ref="B2:E8" firstHeaderRow="0" firstDataRow="1" firstDataCol="1"/>
  <pivotFields count="21">
    <pivotField showAll="0"/>
    <pivotField showAll="0"/>
    <pivotField showAll="0"/>
    <pivotField axis="axisRow" showAll="0" sortType="descending">
      <items count="6">
        <item x="2"/>
        <item x="0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numFmtId="14" showAll="0"/>
    <pivotField showAll="0"/>
    <pivotField dataField="1" dragToRow="0" dragToCol="0" dragToPage="0" showAll="0" defaultSubtotal="0"/>
  </pivotFields>
  <rowFields count="1">
    <field x="3"/>
  </rowFields>
  <rowItems count="6">
    <i>
      <x v="2"/>
    </i>
    <i>
      <x v="4"/>
    </i>
    <i>
      <x/>
    </i>
    <i>
      <x v="1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esidual_Risk_LxI" fld="14" subtotal="average" baseField="3" baseItem="1"/>
    <dataField name="Average of Inherent_Risk_LxI" fld="9" subtotal="average" baseField="3" baseItem="1"/>
    <dataField name="Average of Risk Reduction Delta" fld="20" subtotal="average" baseField="3" baseItem="2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5BF21-BD06-4BDD-9C81-581399448F6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Risk ID">
  <location ref="B3:C9" firstHeaderRow="1" firstDataRow="1" firstDataCol="1"/>
  <pivotFields count="21"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3"/>
        <item x="1"/>
        <item x="0"/>
        <item x="2"/>
        <item t="default"/>
      </items>
    </pivotField>
    <pivotField showAll="0">
      <items count="6">
        <item x="2"/>
        <item x="0"/>
        <item x="4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 sortType="descending">
      <items count="12">
        <item x="10"/>
        <item x="9"/>
        <item x="2"/>
        <item x="0"/>
        <item x="3"/>
        <item x="6"/>
        <item x="7"/>
        <item x="1"/>
        <item x="8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dragToRow="0" dragToCol="0" dragToPage="0" showAll="0" defaultSubtotal="0"/>
  </pivotFields>
  <rowFields count="1">
    <field x="1"/>
  </rowFields>
  <rowItems count="6">
    <i>
      <x v="4"/>
    </i>
    <i>
      <x v="2"/>
    </i>
    <i>
      <x v="1"/>
    </i>
    <i>
      <x/>
    </i>
    <i>
      <x v="3"/>
    </i>
    <i t="grand">
      <x/>
    </i>
  </rowItems>
  <colItems count="1">
    <i/>
  </colItems>
  <dataFields count="1">
    <dataField name="Average of Inherent_Risk_LxI" fld="9" subtotal="average" baseField="1" baseItem="1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051DA-11B5-4A03-8B50-884D2000B5F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Risk Title">
  <location ref="B4:E10" firstHeaderRow="0" firstDataRow="1" firstDataCol="1"/>
  <pivotFields count="21">
    <pivotField showAll="0"/>
    <pivotField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dragToRow="0" dragToCol="0" dragToPage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Likelihood_1to5" fld="7" subtotal="average" baseField="2" baseItem="0"/>
    <dataField name="Average of Impact_1to5" fld="8" subtotal="average" baseField="2" baseItem="3"/>
    <dataField name="Max of Inherent_Risk_LxI" fld="9" subtotal="max" baseField="2" baseItem="3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84F5A-2442-46EC-814A-8E17B165FD5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Status">
  <location ref="A1:B7" firstHeaderRow="1" firstDataRow="1" firstDataCol="1"/>
  <pivotFields count="21">
    <pivotField showAll="0"/>
    <pivotField dataField="1" showAll="0"/>
    <pivotField showAll="0"/>
    <pivotField showAll="0">
      <items count="6">
        <item x="2"/>
        <item x="0"/>
        <item x="4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numFmtId="14" showAll="0"/>
    <pivotField numFmtId="14" showAll="0"/>
    <pivotField showAll="0"/>
    <pivotField dragToRow="0" dragToCol="0" dragToPage="0" showAll="0" defaultSubtota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isk_ID" fld="1" subtotal="count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02F2A-9DCD-4909-9579-FD051E1281A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7" firstHeaderRow="1" firstDataRow="1" firstDataCol="1"/>
  <pivotFields count="21">
    <pivotField showAll="0"/>
    <pivotField showAll="0"/>
    <pivotField showAll="0"/>
    <pivotField axis="axisRow" showAll="0" sortType="descending">
      <items count="6">
        <item x="2"/>
        <item x="0"/>
        <item x="4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showAll="0"/>
    <pivotField dragToRow="0" dragToCol="0" dragToPage="0" showAll="0" defaultSubtotal="0"/>
  </pivotFields>
  <rowFields count="1">
    <field x="3"/>
  </rowFields>
  <rowItems count="6">
    <i>
      <x v="2"/>
    </i>
    <i>
      <x/>
    </i>
    <i>
      <x v="4"/>
    </i>
    <i>
      <x v="1"/>
    </i>
    <i>
      <x v="3"/>
    </i>
    <i t="grand">
      <x/>
    </i>
  </rowItems>
  <colItems count="1">
    <i/>
  </colItems>
  <dataFields count="1">
    <dataField name="Sum of Inherent_Risk_LxI" fld="9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0012B-438A-4944-88FE-CDC4CE5C4D4E}">
  <dimension ref="C4:F10"/>
  <sheetViews>
    <sheetView workbookViewId="0">
      <selection activeCell="E18" sqref="E18"/>
    </sheetView>
  </sheetViews>
  <sheetFormatPr defaultRowHeight="14.5" x14ac:dyDescent="0.35"/>
  <cols>
    <col min="3" max="3" width="18.26953125" bestFit="1" customWidth="1"/>
    <col min="4" max="4" width="21.08984375" bestFit="1" customWidth="1"/>
    <col min="5" max="5" width="23.81640625" bestFit="1" customWidth="1"/>
    <col min="6" max="6" width="25.453125" bestFit="1" customWidth="1"/>
  </cols>
  <sheetData>
    <row r="4" spans="3:6" x14ac:dyDescent="0.35">
      <c r="C4" s="2" t="s">
        <v>10</v>
      </c>
      <c r="D4" t="s">
        <v>11</v>
      </c>
      <c r="E4" t="s">
        <v>12</v>
      </c>
      <c r="F4" t="s">
        <v>2</v>
      </c>
    </row>
    <row r="5" spans="3:6" x14ac:dyDescent="0.35">
      <c r="C5" s="1" t="s">
        <v>13</v>
      </c>
      <c r="D5" s="3">
        <v>4.833333333333333</v>
      </c>
      <c r="E5" s="3">
        <v>4</v>
      </c>
      <c r="F5" s="3">
        <v>19.5</v>
      </c>
    </row>
    <row r="6" spans="3:6" x14ac:dyDescent="0.35">
      <c r="C6" s="1" t="s">
        <v>14</v>
      </c>
      <c r="D6" s="3">
        <v>2.1666666666666665</v>
      </c>
      <c r="E6" s="3">
        <v>3.1666666666666665</v>
      </c>
      <c r="F6" s="3">
        <v>6.666666666666667</v>
      </c>
    </row>
    <row r="7" spans="3:6" x14ac:dyDescent="0.35">
      <c r="C7" s="1" t="s">
        <v>15</v>
      </c>
      <c r="D7" s="3">
        <v>4.166666666666667</v>
      </c>
      <c r="E7" s="3">
        <v>3.1666666666666665</v>
      </c>
      <c r="F7" s="3">
        <v>13.166666666666666</v>
      </c>
    </row>
    <row r="8" spans="3:6" x14ac:dyDescent="0.35">
      <c r="C8" s="1" t="s">
        <v>16</v>
      </c>
      <c r="D8" s="3">
        <v>2.8333333333333335</v>
      </c>
      <c r="E8" s="3">
        <v>2.3333333333333335</v>
      </c>
      <c r="F8" s="3">
        <v>6.833333333333333</v>
      </c>
    </row>
    <row r="9" spans="3:6" x14ac:dyDescent="0.35">
      <c r="C9" s="1" t="s">
        <v>17</v>
      </c>
      <c r="D9" s="3">
        <v>3.5</v>
      </c>
      <c r="E9" s="3">
        <v>4.833333333333333</v>
      </c>
      <c r="F9" s="3">
        <v>17</v>
      </c>
    </row>
    <row r="10" spans="3:6" x14ac:dyDescent="0.35">
      <c r="C10" s="1" t="s">
        <v>9</v>
      </c>
      <c r="D10" s="3">
        <v>3.5</v>
      </c>
      <c r="E10" s="3">
        <v>3.5</v>
      </c>
      <c r="F10" s="3">
        <v>12.633333333333333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F62E7-ED41-4497-883F-A5F33AA94CD8}">
  <dimension ref="B2:E8"/>
  <sheetViews>
    <sheetView workbookViewId="0">
      <selection activeCell="D17" sqref="D17"/>
    </sheetView>
  </sheetViews>
  <sheetFormatPr defaultRowHeight="14.5" x14ac:dyDescent="0.35"/>
  <cols>
    <col min="2" max="2" width="15.81640625" bestFit="1" customWidth="1"/>
    <col min="3" max="3" width="25.1796875" bestFit="1" customWidth="1"/>
    <col min="4" max="4" width="25.453125" bestFit="1" customWidth="1"/>
    <col min="5" max="5" width="27.7265625" bestFit="1" customWidth="1"/>
  </cols>
  <sheetData>
    <row r="2" spans="2:5" x14ac:dyDescent="0.35">
      <c r="B2" s="2" t="s">
        <v>0</v>
      </c>
      <c r="C2" t="s">
        <v>1</v>
      </c>
      <c r="D2" t="s">
        <v>2</v>
      </c>
      <c r="E2" t="s">
        <v>3</v>
      </c>
    </row>
    <row r="3" spans="2:5" x14ac:dyDescent="0.35">
      <c r="B3" s="1" t="s">
        <v>4</v>
      </c>
      <c r="C3" s="3">
        <v>6</v>
      </c>
      <c r="D3" s="3">
        <v>19.5</v>
      </c>
      <c r="E3" s="3">
        <v>81</v>
      </c>
    </row>
    <row r="4" spans="2:5" x14ac:dyDescent="0.35">
      <c r="B4" s="1" t="s">
        <v>5</v>
      </c>
      <c r="C4" s="3">
        <v>4.166666666666667</v>
      </c>
      <c r="D4" s="3">
        <v>13.166666666666666</v>
      </c>
      <c r="E4" s="3">
        <v>54</v>
      </c>
    </row>
    <row r="5" spans="2:5" x14ac:dyDescent="0.35">
      <c r="B5" s="1" t="s">
        <v>6</v>
      </c>
      <c r="C5" s="3">
        <v>3.8333333333333335</v>
      </c>
      <c r="D5" s="3">
        <v>17</v>
      </c>
      <c r="E5" s="3">
        <v>79</v>
      </c>
    </row>
    <row r="6" spans="2:5" x14ac:dyDescent="0.35">
      <c r="B6" s="1" t="s">
        <v>7</v>
      </c>
      <c r="C6" s="3">
        <v>2.3333333333333335</v>
      </c>
      <c r="D6" s="3">
        <v>6.833333333333333</v>
      </c>
      <c r="E6" s="3">
        <v>27</v>
      </c>
    </row>
    <row r="7" spans="2:5" x14ac:dyDescent="0.35">
      <c r="B7" s="1" t="s">
        <v>8</v>
      </c>
      <c r="C7" s="3">
        <v>1.3333333333333333</v>
      </c>
      <c r="D7" s="3">
        <v>6.666666666666667</v>
      </c>
      <c r="E7" s="3">
        <v>32</v>
      </c>
    </row>
    <row r="8" spans="2:5" x14ac:dyDescent="0.35">
      <c r="B8" s="1" t="s">
        <v>9</v>
      </c>
      <c r="C8" s="3">
        <v>3.5333333333333332</v>
      </c>
      <c r="D8" s="3">
        <v>12.633333333333333</v>
      </c>
      <c r="E8" s="3">
        <v>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6A2E-C490-496C-8BE2-D16408A367AA}">
  <dimension ref="B3:C9"/>
  <sheetViews>
    <sheetView workbookViewId="0">
      <selection activeCell="D19" sqref="D19"/>
    </sheetView>
  </sheetViews>
  <sheetFormatPr defaultRowHeight="14.5" x14ac:dyDescent="0.35"/>
  <cols>
    <col min="2" max="2" width="10.7265625" bestFit="1" customWidth="1"/>
    <col min="3" max="3" width="25.453125" bestFit="1" customWidth="1"/>
  </cols>
  <sheetData>
    <row r="3" spans="2:3" x14ac:dyDescent="0.35">
      <c r="B3" s="2" t="s">
        <v>18</v>
      </c>
      <c r="C3" t="s">
        <v>2</v>
      </c>
    </row>
    <row r="4" spans="2:3" x14ac:dyDescent="0.35">
      <c r="B4" s="1" t="s">
        <v>19</v>
      </c>
      <c r="C4" s="3">
        <v>19.5</v>
      </c>
    </row>
    <row r="5" spans="2:3" x14ac:dyDescent="0.35">
      <c r="B5" s="1" t="s">
        <v>20</v>
      </c>
      <c r="C5" s="3">
        <v>17</v>
      </c>
    </row>
    <row r="6" spans="2:3" x14ac:dyDescent="0.35">
      <c r="B6" s="1" t="s">
        <v>21</v>
      </c>
      <c r="C6" s="3">
        <v>13.166666666666666</v>
      </c>
    </row>
    <row r="7" spans="2:3" x14ac:dyDescent="0.35">
      <c r="B7" s="1" t="s">
        <v>22</v>
      </c>
      <c r="C7" s="3">
        <v>6.833333333333333</v>
      </c>
    </row>
    <row r="8" spans="2:3" x14ac:dyDescent="0.35">
      <c r="B8" s="1" t="s">
        <v>23</v>
      </c>
      <c r="C8" s="3">
        <v>6.666666666666667</v>
      </c>
    </row>
    <row r="9" spans="2:3" x14ac:dyDescent="0.35">
      <c r="B9" s="1" t="s">
        <v>9</v>
      </c>
      <c r="C9" s="3">
        <v>12.633333333333333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21A2-2A40-424E-B0C3-5718C42B961D}">
  <dimension ref="B4:E10"/>
  <sheetViews>
    <sheetView workbookViewId="0">
      <selection activeCell="C20" sqref="C20"/>
    </sheetView>
  </sheetViews>
  <sheetFormatPr defaultRowHeight="14.5" x14ac:dyDescent="0.35"/>
  <cols>
    <col min="2" max="2" width="18.26953125" bestFit="1" customWidth="1"/>
    <col min="3" max="3" width="23.81640625" bestFit="1" customWidth="1"/>
    <col min="4" max="4" width="21.08984375" bestFit="1" customWidth="1"/>
    <col min="5" max="5" width="22.26953125" bestFit="1" customWidth="1"/>
  </cols>
  <sheetData>
    <row r="4" spans="2:5" x14ac:dyDescent="0.35">
      <c r="B4" s="2" t="s">
        <v>10</v>
      </c>
      <c r="C4" t="s">
        <v>12</v>
      </c>
      <c r="D4" t="s">
        <v>11</v>
      </c>
      <c r="E4" t="s">
        <v>24</v>
      </c>
    </row>
    <row r="5" spans="2:5" x14ac:dyDescent="0.35">
      <c r="B5" s="1" t="s">
        <v>13</v>
      </c>
      <c r="C5" s="3">
        <v>4</v>
      </c>
      <c r="D5" s="3">
        <v>4.833333333333333</v>
      </c>
      <c r="E5" s="3">
        <v>25</v>
      </c>
    </row>
    <row r="6" spans="2:5" x14ac:dyDescent="0.35">
      <c r="B6" s="1" t="s">
        <v>14</v>
      </c>
      <c r="C6" s="3">
        <v>3.1666666666666665</v>
      </c>
      <c r="D6" s="3">
        <v>2.1666666666666665</v>
      </c>
      <c r="E6" s="3">
        <v>12</v>
      </c>
    </row>
    <row r="7" spans="2:5" x14ac:dyDescent="0.35">
      <c r="B7" s="1" t="s">
        <v>15</v>
      </c>
      <c r="C7" s="3">
        <v>3.1666666666666665</v>
      </c>
      <c r="D7" s="3">
        <v>4.166666666666667</v>
      </c>
      <c r="E7" s="3">
        <v>16</v>
      </c>
    </row>
    <row r="8" spans="2:5" x14ac:dyDescent="0.35">
      <c r="B8" s="1" t="s">
        <v>16</v>
      </c>
      <c r="C8" s="3">
        <v>2.3333333333333335</v>
      </c>
      <c r="D8" s="3">
        <v>2.8333333333333335</v>
      </c>
      <c r="E8" s="3">
        <v>12</v>
      </c>
    </row>
    <row r="9" spans="2:5" x14ac:dyDescent="0.35">
      <c r="B9" s="1" t="s">
        <v>17</v>
      </c>
      <c r="C9" s="3">
        <v>4.833333333333333</v>
      </c>
      <c r="D9" s="3">
        <v>3.5</v>
      </c>
      <c r="E9" s="3">
        <v>25</v>
      </c>
    </row>
    <row r="10" spans="2:5" x14ac:dyDescent="0.35">
      <c r="B10" s="1" t="s">
        <v>9</v>
      </c>
      <c r="C10" s="3">
        <v>3.5</v>
      </c>
      <c r="D10" s="3">
        <v>3.5</v>
      </c>
      <c r="E10" s="3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FE10-3866-4DF8-9B34-C32050CB9AFC}">
  <dimension ref="A1:B7"/>
  <sheetViews>
    <sheetView tabSelected="1" workbookViewId="0">
      <selection activeCell="B20" sqref="B20"/>
    </sheetView>
  </sheetViews>
  <sheetFormatPr defaultRowHeight="14.5" x14ac:dyDescent="0.35"/>
  <cols>
    <col min="1" max="1" width="10.7265625" bestFit="1" customWidth="1"/>
    <col min="2" max="2" width="14.81640625" bestFit="1" customWidth="1"/>
  </cols>
  <sheetData>
    <row r="1" spans="1:2" x14ac:dyDescent="0.35">
      <c r="A1" s="2" t="s">
        <v>25</v>
      </c>
      <c r="B1" t="s">
        <v>26</v>
      </c>
    </row>
    <row r="2" spans="1:2" x14ac:dyDescent="0.35">
      <c r="A2" s="1" t="s">
        <v>27</v>
      </c>
      <c r="B2" s="3">
        <v>3</v>
      </c>
    </row>
    <row r="3" spans="1:2" x14ac:dyDescent="0.35">
      <c r="A3" s="1" t="s">
        <v>28</v>
      </c>
      <c r="B3" s="3">
        <v>5</v>
      </c>
    </row>
    <row r="4" spans="1:2" x14ac:dyDescent="0.35">
      <c r="A4" s="1" t="s">
        <v>29</v>
      </c>
      <c r="B4" s="3">
        <v>7</v>
      </c>
    </row>
    <row r="5" spans="1:2" x14ac:dyDescent="0.35">
      <c r="A5" s="1" t="s">
        <v>30</v>
      </c>
      <c r="B5" s="3">
        <v>7</v>
      </c>
    </row>
    <row r="6" spans="1:2" x14ac:dyDescent="0.35">
      <c r="A6" s="1" t="s">
        <v>31</v>
      </c>
      <c r="B6" s="3">
        <v>8</v>
      </c>
    </row>
    <row r="7" spans="1:2" x14ac:dyDescent="0.35">
      <c r="A7" s="1" t="s">
        <v>9</v>
      </c>
      <c r="B7" s="3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1B04B-3A0A-4113-BB70-DFD9D2EBE631}">
  <dimension ref="A1:B7"/>
  <sheetViews>
    <sheetView workbookViewId="0">
      <selection sqref="A1:B7"/>
    </sheetView>
  </sheetViews>
  <sheetFormatPr defaultRowHeight="14.5" x14ac:dyDescent="0.35"/>
  <cols>
    <col min="2" max="2" width="22.26953125" bestFit="1" customWidth="1"/>
  </cols>
  <sheetData>
    <row r="1" spans="1:2" x14ac:dyDescent="0.35">
      <c r="A1" s="2" t="s">
        <v>32</v>
      </c>
      <c r="B1" t="s">
        <v>33</v>
      </c>
    </row>
    <row r="2" spans="1:2" x14ac:dyDescent="0.35">
      <c r="A2" s="1" t="s">
        <v>4</v>
      </c>
      <c r="B2">
        <v>117</v>
      </c>
    </row>
    <row r="3" spans="1:2" x14ac:dyDescent="0.35">
      <c r="A3" s="1" t="s">
        <v>6</v>
      </c>
      <c r="B3">
        <v>102</v>
      </c>
    </row>
    <row r="4" spans="1:2" x14ac:dyDescent="0.35">
      <c r="A4" s="1" t="s">
        <v>5</v>
      </c>
      <c r="B4">
        <v>79</v>
      </c>
    </row>
    <row r="5" spans="1:2" x14ac:dyDescent="0.35">
      <c r="A5" s="1" t="s">
        <v>7</v>
      </c>
      <c r="B5">
        <v>41</v>
      </c>
    </row>
    <row r="6" spans="1:2" x14ac:dyDescent="0.35">
      <c r="A6" s="1" t="s">
        <v>8</v>
      </c>
      <c r="B6">
        <v>40</v>
      </c>
    </row>
    <row r="7" spans="1:2" x14ac:dyDescent="0.35">
      <c r="A7" s="1" t="s">
        <v>9</v>
      </c>
      <c r="B7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Average Inherent Risk </vt:lpstr>
      <vt:lpstr>Risk by Threat Scenario</vt:lpstr>
      <vt:lpstr>Top Risks</vt:lpstr>
      <vt:lpstr>Risks Drivers</vt:lpstr>
      <vt:lpstr>Risk Status</vt:lpstr>
      <vt:lpstr>Risk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Oluwaseun Joseph</cp:lastModifiedBy>
  <dcterms:created xsi:type="dcterms:W3CDTF">2025-12-14T23:38:45Z</dcterms:created>
  <dcterms:modified xsi:type="dcterms:W3CDTF">2025-12-15T05:19:36Z</dcterms:modified>
</cp:coreProperties>
</file>